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CI Documents\MOS\MOS_HOCICT\MOS 2019\MOS_BOOK_CONTENT\Projects\"/>
    </mc:Choice>
  </mc:AlternateContent>
  <xr:revisionPtr revIDLastSave="0" documentId="13_ncr:1_{8C50584F-7250-42A9-B6F9-0D47955FD1F0}" xr6:coauthVersionLast="47" xr6:coauthVersionMax="47" xr10:uidLastSave="{00000000-0000-0000-0000-000000000000}"/>
  <bookViews>
    <workbookView xWindow="-96" yWindow="0" windowWidth="11712" windowHeight="12336" firstSheet="3" activeTab="6" xr2:uid="{00000000-000D-0000-FFFF-FFFF00000000}"/>
  </bookViews>
  <sheets>
    <sheet name="Survey Results" sheetId="22" r:id="rId1"/>
    <sheet name="Sales by month" sheetId="40" r:id="rId2"/>
    <sheet name="Summary" sheetId="26" state="hidden" r:id="rId3"/>
    <sheet name="Q1 Sales" sheetId="16" r:id="rId4"/>
    <sheet name="Q2 Sales" sheetId="25" r:id="rId5"/>
    <sheet name="Q3 Sales" sheetId="30" r:id="rId6"/>
    <sheet name="Q4 Sales" sheetId="32" r:id="rId7"/>
    <sheet name="Lecturers" sheetId="39" r:id="rId8"/>
  </sheets>
  <externalReferences>
    <externalReference r:id="rId9"/>
    <externalReference r:id="rId10"/>
  </externalReferences>
  <definedNames>
    <definedName name="Convertible">#REF!</definedName>
    <definedName name="Discount2008">[1]!Table1[[#All],[Discount 2008]]</definedName>
    <definedName name="Discount2009">[1]!Table1[[#All],[Discount 2009]]</definedName>
    <definedName name="SUPPLIER_NAME" localSheetId="4">#REF!</definedName>
    <definedName name="SUPPLIER_NAME" localSheetId="5">#REF!</definedName>
    <definedName name="SUPPLIER_NAME" localSheetId="6">#REF!</definedName>
    <definedName name="SUPPLIER_NAME" localSheetId="2">[2]!Table3[[#All],[NameLast]]</definedName>
    <definedName name="SUPPLIER_NAME">#REF!</definedName>
    <definedName name="SupplierOrder">[1]!SupplierRank[#Data]</definedName>
    <definedName name="Year_2017">#REF!</definedName>
  </definedNames>
  <calcPr calcId="191029"/>
</workbook>
</file>

<file path=xl/calcChain.xml><?xml version="1.0" encoding="utf-8"?>
<calcChain xmlns="http://schemas.openxmlformats.org/spreadsheetml/2006/main">
  <c r="N6" i="26" l="1"/>
  <c r="N2" i="26"/>
  <c r="N3" i="26"/>
  <c r="N4" i="26"/>
  <c r="N5" i="26"/>
  <c r="G11" i="32"/>
  <c r="G10" i="32"/>
  <c r="G9" i="32"/>
  <c r="G8" i="32"/>
  <c r="G11" i="30"/>
  <c r="G10" i="30"/>
  <c r="G9" i="30"/>
  <c r="G8" i="30"/>
  <c r="M6" i="26" l="1"/>
  <c r="L6" i="26"/>
  <c r="K6" i="26"/>
  <c r="J6" i="26"/>
  <c r="I6" i="26"/>
  <c r="H6" i="26"/>
  <c r="G6" i="26"/>
  <c r="F6" i="26"/>
  <c r="E6" i="26"/>
  <c r="D6" i="26"/>
  <c r="C6" i="26"/>
  <c r="B6" i="26"/>
  <c r="E3" i="25" l="1"/>
  <c r="E4" i="25"/>
  <c r="E5" i="25"/>
  <c r="E6" i="25"/>
  <c r="E2" i="16"/>
  <c r="E3" i="16"/>
  <c r="E4" i="16"/>
  <c r="E5" i="16"/>
</calcChain>
</file>

<file path=xl/sharedStrings.xml><?xml version="1.0" encoding="utf-8"?>
<sst xmlns="http://schemas.openxmlformats.org/spreadsheetml/2006/main" count="83" uniqueCount="49">
  <si>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</si>
  <si>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</si>
  <si>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</si>
  <si>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</si>
  <si>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</si>
  <si>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</si>
  <si>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</si>
  <si>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</si>
  <si>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</si>
  <si>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</si>
  <si>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</si>
  <si>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</si>
  <si>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</si>
  <si>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Exam</t>
  </si>
  <si>
    <t>IC3</t>
  </si>
  <si>
    <t>IELTS</t>
  </si>
  <si>
    <t>MOS</t>
  </si>
  <si>
    <t>TOEIC</t>
  </si>
  <si>
    <t>Weekly Student Survey</t>
  </si>
  <si>
    <t>Question:</t>
  </si>
  <si>
    <t>Will you continue and introduce your friends to the courses we teach?</t>
  </si>
  <si>
    <t>Answer choices:</t>
  </si>
  <si>
    <t>Yes, definitely!</t>
  </si>
  <si>
    <t>Yes, probably</t>
  </si>
  <si>
    <t>Maybe</t>
  </si>
  <si>
    <t>No, probably not</t>
  </si>
  <si>
    <t>No, definitely not</t>
  </si>
  <si>
    <t>Number of responses</t>
  </si>
  <si>
    <t>Response group</t>
  </si>
  <si>
    <t>Yes (definitely or probably)</t>
  </si>
  <si>
    <t>No (definitely or probably)</t>
  </si>
  <si>
    <t>Response time</t>
  </si>
  <si>
    <t>Answer</t>
  </si>
  <si>
    <t>First Letter</t>
  </si>
  <si>
    <t>Growth Trend</t>
  </si>
  <si>
    <t>Fan page: https://www.facebook.com/hocict.edu.vn</t>
  </si>
  <si>
    <t>Website: http://www.hocict.edu.vn</t>
  </si>
  <si>
    <t>Email: mos@hocict.edu.vn</t>
  </si>
  <si>
    <t>Lecturers</t>
  </si>
  <si>
    <t>HOCICT Official Channel</t>
  </si>
  <si>
    <t>Bonus</t>
  </si>
  <si>
    <t>Nguyen Tat Thanh University</t>
  </si>
  <si>
    <t>Hoa Sen University</t>
  </si>
  <si>
    <t>Ton Duc Thang University</t>
  </si>
  <si>
    <t>Hong Bang University</t>
  </si>
  <si>
    <t>List of MOS Exam</t>
  </si>
  <si>
    <t>Test Site</t>
  </si>
  <si>
    <t>Tax</t>
  </si>
  <si>
    <t>Tax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</si>
</sst>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6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C4D79B"/>
      </top>
      <bottom/>
      <diagonal/>
    </border>
    <border>
      <left/>
      <right style="thin">
        <color rgb="FFC4D79B"/>
      </right>
      <top style="thin">
        <color rgb="FFC4D79B"/>
      </top>
      <bottom/>
      <diagonal/>
    </border>
    <border>
      <left/>
      <right style="thin">
        <color rgb="FFC4D79B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rgb="FFC4D79B"/>
      </top>
      <bottom/>
      <diagonal/>
    </border>
    <border>
      <left style="thin">
        <color theme="4" tint="0.39997558519241921"/>
      </left>
      <right/>
      <top style="thin">
        <color theme="6" tint="0.39997558519241921"/>
      </top>
      <bottom/>
      <diagonal/>
    </border>
    <border>
      <left/>
      <right style="thin">
        <color rgb="FFC4D79B"/>
      </right>
      <top style="thin">
        <color theme="4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5">
    <xf numFmtId="0" fontId="0" fillId="0" borderId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4" borderId="15" applyNumberFormat="0" applyAlignment="0" applyProtection="0"/>
  </cellStyleXfs>
  <cellXfs count="33">
    <xf numFmtId="0" fontId="0" fillId="0" borderId="0" xfId="0"/>
    <xf numFmtId="0" fontId="0" fillId="0" borderId="3" xfId="0" applyBorder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right"/>
    </xf>
    <xf numFmtId="0" fontId="2" fillId="0" borderId="4" xfId="0" applyFont="1" applyBorder="1"/>
    <xf numFmtId="0" fontId="0" fillId="3" borderId="12" xfId="0" applyFill="1" applyBorder="1"/>
    <xf numFmtId="0" fontId="0" fillId="3" borderId="13" xfId="0" applyFill="1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3" borderId="6" xfId="0" applyFill="1" applyBorder="1"/>
    <xf numFmtId="0" fontId="0" fillId="3" borderId="14" xfId="0" applyFill="1" applyBorder="1"/>
    <xf numFmtId="0" fontId="0" fillId="0" borderId="14" xfId="0" applyBorder="1"/>
    <xf numFmtId="0" fontId="2" fillId="3" borderId="2" xfId="0" applyFont="1" applyFill="1" applyBorder="1"/>
    <xf numFmtId="0" fontId="2" fillId="0" borderId="2" xfId="0" applyFont="1" applyBorder="1"/>
    <xf numFmtId="0" fontId="2" fillId="0" borderId="7" xfId="0" applyFont="1" applyBorder="1"/>
    <xf numFmtId="0" fontId="0" fillId="0" borderId="0" xfId="0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4" fillId="0" borderId="0" xfId="2"/>
    <xf numFmtId="0" fontId="1" fillId="0" borderId="0" xfId="0" applyFont="1"/>
    <xf numFmtId="0" fontId="0" fillId="0" borderId="2" xfId="0" applyBorder="1"/>
    <xf numFmtId="0" fontId="6" fillId="0" borderId="0" xfId="3"/>
    <xf numFmtId="10" fontId="0" fillId="0" borderId="16" xfId="0" applyNumberFormat="1" applyBorder="1"/>
    <xf numFmtId="0" fontId="7" fillId="4" borderId="16" xfId="4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5">
    <cellStyle name="Heading 1 2" xfId="1" xr:uid="{00000000-0005-0000-0000-000003000000}"/>
    <cellStyle name="Hyperlink" xfId="2" builtinId="8"/>
    <cellStyle name="Input" xfId="4" builtinId="20"/>
    <cellStyle name="Normal" xfId="0" builtinId="0"/>
    <cellStyle name="Title" xfId="3" builtinId="15"/>
  </cellStyles>
  <dxfs count="4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right style="thin">
          <color rgb="FFC4D79B"/>
        </right>
        <top style="thin">
          <color rgb="FFC4D79B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4-4AA2-9FA3-D6A77E36CFDC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4-4AA2-9FA3-D6A77E36CFDC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4-4AA2-9FA3-D6A77E36CFDC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Summary!$E$2:$E$5</c:f>
              <c:numCache>
                <c:formatCode>General</c:formatCode>
                <c:ptCount val="4"/>
                <c:pt idx="0">
                  <c:v>6128</c:v>
                </c:pt>
                <c:pt idx="1">
                  <c:v>4476</c:v>
                </c:pt>
                <c:pt idx="2">
                  <c:v>3258</c:v>
                </c:pt>
                <c:pt idx="3">
                  <c:v>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4-4AA2-9FA3-D6A77E36CFDC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Summary!$F$2:$F$5</c:f>
              <c:numCache>
                <c:formatCode>General</c:formatCode>
                <c:ptCount val="4"/>
                <c:pt idx="0">
                  <c:v>2785</c:v>
                </c:pt>
                <c:pt idx="1">
                  <c:v>1861</c:v>
                </c:pt>
                <c:pt idx="2">
                  <c:v>4092</c:v>
                </c:pt>
                <c:pt idx="3">
                  <c:v>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5-4FB4-A754-09215A030A2B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Summary!$G$2:$G$5</c:f>
              <c:numCache>
                <c:formatCode>General</c:formatCode>
                <c:ptCount val="4"/>
                <c:pt idx="0">
                  <c:v>7063</c:v>
                </c:pt>
                <c:pt idx="1">
                  <c:v>4829</c:v>
                </c:pt>
                <c:pt idx="2">
                  <c:v>3671</c:v>
                </c:pt>
                <c:pt idx="3">
                  <c:v>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5-4FB4-A754-09215A030A2B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Summary!$H$2:$H$5</c:f>
              <c:numCache>
                <c:formatCode>General</c:formatCode>
                <c:ptCount val="4"/>
                <c:pt idx="0">
                  <c:v>2547</c:v>
                </c:pt>
                <c:pt idx="1">
                  <c:v>6747</c:v>
                </c:pt>
                <c:pt idx="2">
                  <c:v>6105</c:v>
                </c:pt>
                <c:pt idx="3">
                  <c:v>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5-4FB4-A754-09215A030A2B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Summary!$I$2:$I$5</c:f>
              <c:numCache>
                <c:formatCode>General</c:formatCode>
                <c:ptCount val="4"/>
                <c:pt idx="0">
                  <c:v>5546</c:v>
                </c:pt>
                <c:pt idx="1">
                  <c:v>3078</c:v>
                </c:pt>
                <c:pt idx="2">
                  <c:v>4773</c:v>
                </c:pt>
                <c:pt idx="3">
                  <c:v>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5-4FB4-A754-09215A030A2B}"/>
            </c:ext>
          </c:extLst>
        </c:ser>
        <c:ser>
          <c:idx val="8"/>
          <c:order val="8"/>
          <c:tx>
            <c:strRef>
              <c:f>Summary!$J$1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Summary!$J$2:$J$5</c:f>
              <c:numCache>
                <c:formatCode>General</c:formatCode>
                <c:ptCount val="4"/>
                <c:pt idx="0">
                  <c:v>3188</c:v>
                </c:pt>
                <c:pt idx="1">
                  <c:v>5955</c:v>
                </c:pt>
                <c:pt idx="2">
                  <c:v>3420</c:v>
                </c:pt>
                <c:pt idx="3">
                  <c:v>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5-4FB4-A754-09215A030A2B}"/>
            </c:ext>
          </c:extLst>
        </c:ser>
        <c:ser>
          <c:idx val="9"/>
          <c:order val="9"/>
          <c:tx>
            <c:strRef>
              <c:f>Summary!$K$1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Summary!$K$2:$K$5</c:f>
              <c:numCache>
                <c:formatCode>General</c:formatCode>
                <c:ptCount val="4"/>
                <c:pt idx="0">
                  <c:v>4488</c:v>
                </c:pt>
                <c:pt idx="1">
                  <c:v>5048</c:v>
                </c:pt>
                <c:pt idx="2">
                  <c:v>1930</c:v>
                </c:pt>
                <c:pt idx="3">
                  <c:v>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45-4FB4-A754-09215A030A2B}"/>
            </c:ext>
          </c:extLst>
        </c:ser>
        <c:ser>
          <c:idx val="10"/>
          <c:order val="10"/>
          <c:tx>
            <c:strRef>
              <c:f>Summary!$L$1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Summary!$L$2:$L$5</c:f>
              <c:numCache>
                <c:formatCode>General</c:formatCode>
                <c:ptCount val="4"/>
                <c:pt idx="0">
                  <c:v>5566</c:v>
                </c:pt>
                <c:pt idx="1">
                  <c:v>4156</c:v>
                </c:pt>
                <c:pt idx="2">
                  <c:v>6539</c:v>
                </c:pt>
                <c:pt idx="3">
                  <c:v>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45-4FB4-A754-09215A030A2B}"/>
            </c:ext>
          </c:extLst>
        </c:ser>
        <c:ser>
          <c:idx val="11"/>
          <c:order val="11"/>
          <c:tx>
            <c:strRef>
              <c:f>Summary!$M$1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Summary!$M$2:$M$5</c:f>
              <c:numCache>
                <c:formatCode>General</c:formatCode>
                <c:ptCount val="4"/>
                <c:pt idx="0">
                  <c:v>5211</c:v>
                </c:pt>
                <c:pt idx="1">
                  <c:v>3227</c:v>
                </c:pt>
                <c:pt idx="2">
                  <c:v>6290</c:v>
                </c:pt>
                <c:pt idx="3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45-4FB4-A754-09215A030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C-4ED1-A1D8-C990FBE70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C-470E-BA84-FF87DC3A801A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C-470E-BA84-FF87DC3A801A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C-470E-BA84-FF87DC3A801A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CC-470E-BA84-FF87DC3A8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 Sales'!$E$1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5E-4919-ABF6-8380DBA4B2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E-4919-ABF6-8380DBA4B2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E-4919-ABF6-8380DBA4B2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E-4919-ABF6-8380DBA4B2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Sales'!$A$2:$A$5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'Q1 Sales'!$E$2:$E$5</c:f>
              <c:numCache>
                <c:formatCode>General</c:formatCode>
                <c:ptCount val="4"/>
                <c:pt idx="0">
                  <c:v>9830</c:v>
                </c:pt>
                <c:pt idx="1">
                  <c:v>12530</c:v>
                </c:pt>
                <c:pt idx="2">
                  <c:v>9164</c:v>
                </c:pt>
                <c:pt idx="3">
                  <c:v>12475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F21-AA4C-E9DEC2F806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Q2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Sales'!$B$2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 Sales'!$A$3:$A$6</c:f>
              <c:strCache>
                <c:ptCount val="4"/>
                <c:pt idx="0">
                  <c:v>Nguyen Tat Thanh University</c:v>
                </c:pt>
                <c:pt idx="1">
                  <c:v>Hoa Sen University</c:v>
                </c:pt>
                <c:pt idx="2">
                  <c:v>Ton Duc Thang University</c:v>
                </c:pt>
                <c:pt idx="3">
                  <c:v>Hong Bang University</c:v>
                </c:pt>
              </c:strCache>
            </c:strRef>
          </c:cat>
          <c:val>
            <c:numRef>
              <c:f>'Q2 Sales'!$B$3:$B$6</c:f>
              <c:numCache>
                <c:formatCode>General</c:formatCode>
                <c:ptCount val="4"/>
                <c:pt idx="0">
                  <c:v>6128</c:v>
                </c:pt>
                <c:pt idx="1">
                  <c:v>4476</c:v>
                </c:pt>
                <c:pt idx="2">
                  <c:v>3258</c:v>
                </c:pt>
                <c:pt idx="3">
                  <c:v>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B-4996-A06D-3A1589D097A8}"/>
            </c:ext>
          </c:extLst>
        </c:ser>
        <c:ser>
          <c:idx val="1"/>
          <c:order val="1"/>
          <c:tx>
            <c:strRef>
              <c:f>'Q2 Sales'!$C$2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 Sales'!$A$3:$A$6</c:f>
              <c:strCache>
                <c:ptCount val="4"/>
                <c:pt idx="0">
                  <c:v>Nguyen Tat Thanh University</c:v>
                </c:pt>
                <c:pt idx="1">
                  <c:v>Hoa Sen University</c:v>
                </c:pt>
                <c:pt idx="2">
                  <c:v>Ton Duc Thang University</c:v>
                </c:pt>
                <c:pt idx="3">
                  <c:v>Hong Bang University</c:v>
                </c:pt>
              </c:strCache>
            </c:strRef>
          </c:cat>
          <c:val>
            <c:numRef>
              <c:f>'Q2 Sales'!$C$3:$C$6</c:f>
              <c:numCache>
                <c:formatCode>General</c:formatCode>
                <c:ptCount val="4"/>
                <c:pt idx="0">
                  <c:v>2785</c:v>
                </c:pt>
                <c:pt idx="1">
                  <c:v>1861</c:v>
                </c:pt>
                <c:pt idx="2">
                  <c:v>4092</c:v>
                </c:pt>
                <c:pt idx="3">
                  <c:v>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B-4996-A06D-3A1589D0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 Sales'!$C$8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'Q3 Sales'!$D$7:$E$7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'Q3 Sales'!$D$8:$E$8</c:f>
              <c:numCache>
                <c:formatCode>General</c:formatCode>
                <c:ptCount val="2"/>
                <c:pt idx="0">
                  <c:v>2547</c:v>
                </c:pt>
                <c:pt idx="1">
                  <c:v>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4-4EF4-A97B-7344AD0DA884}"/>
            </c:ext>
          </c:extLst>
        </c:ser>
        <c:ser>
          <c:idx val="1"/>
          <c:order val="1"/>
          <c:tx>
            <c:strRef>
              <c:f>'Q3 Sales'!$C$9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'Q3 Sales'!$D$7:$E$7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'Q3 Sales'!$D$9:$E$9</c:f>
              <c:numCache>
                <c:formatCode>General</c:formatCode>
                <c:ptCount val="2"/>
                <c:pt idx="0">
                  <c:v>6747</c:v>
                </c:pt>
                <c:pt idx="1">
                  <c:v>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4-4EF4-A97B-7344AD0DA884}"/>
            </c:ext>
          </c:extLst>
        </c:ser>
        <c:ser>
          <c:idx val="2"/>
          <c:order val="2"/>
          <c:tx>
            <c:strRef>
              <c:f>'Q3 Sales'!$C$10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'Q3 Sales'!$D$7:$E$7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'Q3 Sales'!$D$10:$E$10</c:f>
              <c:numCache>
                <c:formatCode>General</c:formatCode>
                <c:ptCount val="2"/>
                <c:pt idx="0">
                  <c:v>6105</c:v>
                </c:pt>
                <c:pt idx="1">
                  <c:v>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4-4EF4-A97B-7344AD0DA884}"/>
            </c:ext>
          </c:extLst>
        </c:ser>
        <c:ser>
          <c:idx val="3"/>
          <c:order val="3"/>
          <c:tx>
            <c:strRef>
              <c:f>'Q3 Sales'!$C$11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'Q3 Sales'!$D$7:$E$7</c:f>
              <c:strCache>
                <c:ptCount val="2"/>
                <c:pt idx="0">
                  <c:v>July</c:v>
                </c:pt>
                <c:pt idx="1">
                  <c:v>August</c:v>
                </c:pt>
              </c:strCache>
            </c:strRef>
          </c:cat>
          <c:val>
            <c:numRef>
              <c:f>'Q3 Sales'!$D$11:$E$11</c:f>
              <c:numCache>
                <c:formatCode>General</c:formatCode>
                <c:ptCount val="2"/>
                <c:pt idx="0">
                  <c:v>4884</c:v>
                </c:pt>
                <c:pt idx="1">
                  <c:v>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A-4207-879E-C9260845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3102543"/>
        <c:axId val="649259503"/>
        <c:axId val="0"/>
      </c:bar3DChart>
      <c:catAx>
        <c:axId val="9231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9503"/>
        <c:crosses val="autoZero"/>
        <c:auto val="1"/>
        <c:lblAlgn val="ctr"/>
        <c:lblOffset val="100"/>
        <c:noMultiLvlLbl val="0"/>
      </c:catAx>
      <c:valAx>
        <c:axId val="6492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 Sales'!$G$7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D8-4C92-A5C7-E7A761700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D8-4C92-A5C7-E7A761700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D8-4C92-A5C7-E7A7617009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D8-4C92-A5C7-E7A7617009C4}"/>
              </c:ext>
            </c:extLst>
          </c:dPt>
          <c:cat>
            <c:strRef>
              <c:f>'Q3 Sales'!$C$8:$C$11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'Q3 Sales'!$G$8:$G$11</c:f>
              <c:numCache>
                <c:formatCode>General</c:formatCode>
                <c:ptCount val="4"/>
                <c:pt idx="0">
                  <c:v>11281</c:v>
                </c:pt>
                <c:pt idx="1">
                  <c:v>15780</c:v>
                </c:pt>
                <c:pt idx="2">
                  <c:v>14298</c:v>
                </c:pt>
                <c:pt idx="3">
                  <c:v>14819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F-413F-A1AC-A540370B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Exams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Sales'!$D$7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Sales'!$C$9:$C$11</c:f>
              <c:strCache>
                <c:ptCount val="3"/>
                <c:pt idx="0">
                  <c:v>IELTS</c:v>
                </c:pt>
                <c:pt idx="1">
                  <c:v>MOS</c:v>
                </c:pt>
                <c:pt idx="2">
                  <c:v>TOEIC</c:v>
                </c:pt>
              </c:strCache>
            </c:strRef>
          </c:cat>
          <c:val>
            <c:numRef>
              <c:f>'Q4 Sales'!$D$9:$D$11</c:f>
              <c:numCache>
                <c:formatCode>General</c:formatCode>
                <c:ptCount val="3"/>
                <c:pt idx="0">
                  <c:v>5048</c:v>
                </c:pt>
                <c:pt idx="1">
                  <c:v>1930</c:v>
                </c:pt>
                <c:pt idx="2">
                  <c:v>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9-4C9B-BFFF-42C34FC35B08}"/>
            </c:ext>
          </c:extLst>
        </c:ser>
        <c:ser>
          <c:idx val="1"/>
          <c:order val="1"/>
          <c:tx>
            <c:strRef>
              <c:f>'Q4 Sales'!$E$7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 Sales'!$C$9:$C$11</c:f>
              <c:strCache>
                <c:ptCount val="3"/>
                <c:pt idx="0">
                  <c:v>IELTS</c:v>
                </c:pt>
                <c:pt idx="1">
                  <c:v>MOS</c:v>
                </c:pt>
                <c:pt idx="2">
                  <c:v>TOEIC</c:v>
                </c:pt>
              </c:strCache>
            </c:strRef>
          </c:cat>
          <c:val>
            <c:numRef>
              <c:f>'Q4 Sales'!$E$9:$E$11</c:f>
              <c:numCache>
                <c:formatCode>General</c:formatCode>
                <c:ptCount val="3"/>
                <c:pt idx="0">
                  <c:v>4156</c:v>
                </c:pt>
                <c:pt idx="1">
                  <c:v>6539</c:v>
                </c:pt>
                <c:pt idx="2">
                  <c:v>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9-4C9B-BFFF-42C34FC35B08}"/>
            </c:ext>
          </c:extLst>
        </c:ser>
        <c:ser>
          <c:idx val="2"/>
          <c:order val="2"/>
          <c:tx>
            <c:strRef>
              <c:f>'Q4 Sales'!$F$7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 Sales'!$C$9:$C$11</c:f>
              <c:strCache>
                <c:ptCount val="3"/>
                <c:pt idx="0">
                  <c:v>IELTS</c:v>
                </c:pt>
                <c:pt idx="1">
                  <c:v>MOS</c:v>
                </c:pt>
                <c:pt idx="2">
                  <c:v>TOEIC</c:v>
                </c:pt>
              </c:strCache>
            </c:strRef>
          </c:cat>
          <c:val>
            <c:numRef>
              <c:f>'Q4 Sales'!$F$9:$F$11</c:f>
              <c:numCache>
                <c:formatCode>General</c:formatCode>
                <c:ptCount val="3"/>
                <c:pt idx="0">
                  <c:v>3227</c:v>
                </c:pt>
                <c:pt idx="1">
                  <c:v>6290</c:v>
                </c:pt>
                <c:pt idx="2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9-4C9B-BFFF-42C34FC35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'Q4 Sales'!$C$8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'Q4 Sales'!$D$7:$G$7</c:f>
              <c:strCache>
                <c:ptCount val="4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Total</c:v>
                </c:pt>
              </c:strCache>
            </c:strRef>
          </c:cat>
          <c:val>
            <c:numRef>
              <c:f>'Q4 Sales'!$D$8:$G$8</c:f>
              <c:numCache>
                <c:formatCode>General</c:formatCode>
                <c:ptCount val="4"/>
                <c:pt idx="0">
                  <c:v>4488</c:v>
                </c:pt>
                <c:pt idx="1">
                  <c:v>5566</c:v>
                </c:pt>
                <c:pt idx="2">
                  <c:v>5211</c:v>
                </c:pt>
                <c:pt idx="3">
                  <c:v>15265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2-471F-A94B-1E9F7656DA5F}"/>
            </c:ext>
          </c:extLst>
        </c:ser>
        <c:ser>
          <c:idx val="1"/>
          <c:order val="1"/>
          <c:tx>
            <c:strRef>
              <c:f>'Q4 Sales'!$C$9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'Q4 Sales'!$D$7:$G$7</c:f>
              <c:strCache>
                <c:ptCount val="4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Total</c:v>
                </c:pt>
              </c:strCache>
            </c:strRef>
          </c:cat>
          <c:val>
            <c:numRef>
              <c:f>'Q4 Sales'!$D$9:$G$9</c:f>
              <c:numCache>
                <c:formatCode>General</c:formatCode>
                <c:ptCount val="4"/>
                <c:pt idx="0">
                  <c:v>5048</c:v>
                </c:pt>
                <c:pt idx="1">
                  <c:v>4156</c:v>
                </c:pt>
                <c:pt idx="2">
                  <c:v>3227</c:v>
                </c:pt>
                <c:pt idx="3">
                  <c:v>12431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2-471F-A94B-1E9F7656DA5F}"/>
            </c:ext>
          </c:extLst>
        </c:ser>
        <c:ser>
          <c:idx val="2"/>
          <c:order val="2"/>
          <c:tx>
            <c:strRef>
              <c:f>'Q4 Sales'!$C$10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'Q4 Sales'!$D$7:$G$7</c:f>
              <c:strCache>
                <c:ptCount val="4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Total</c:v>
                </c:pt>
              </c:strCache>
            </c:strRef>
          </c:cat>
          <c:val>
            <c:numRef>
              <c:f>'Q4 Sales'!$D$10:$G$10</c:f>
              <c:numCache>
                <c:formatCode>General</c:formatCode>
                <c:ptCount val="4"/>
                <c:pt idx="0">
                  <c:v>1930</c:v>
                </c:pt>
                <c:pt idx="1">
                  <c:v>6539</c:v>
                </c:pt>
                <c:pt idx="2">
                  <c:v>6290</c:v>
                </c:pt>
                <c:pt idx="3">
                  <c:v>14759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2-471F-A94B-1E9F7656DA5F}"/>
            </c:ext>
          </c:extLst>
        </c:ser>
        <c:ser>
          <c:idx val="3"/>
          <c:order val="3"/>
          <c:tx>
            <c:strRef>
              <c:f>'Q4 Sales'!$C$11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'Q4 Sales'!$D$7:$G$7</c:f>
              <c:strCache>
                <c:ptCount val="4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Total</c:v>
                </c:pt>
              </c:strCache>
            </c:strRef>
          </c:cat>
          <c:val>
            <c:numRef>
              <c:f>'Q4 Sales'!$D$11:$G$11</c:f>
              <c:numCache>
                <c:formatCode>General</c:formatCode>
                <c:ptCount val="4"/>
                <c:pt idx="0">
                  <c:v>4124</c:v>
                </c:pt>
                <c:pt idx="1">
                  <c:v>3347</c:v>
                </c:pt>
                <c:pt idx="2">
                  <c:v>5706</c:v>
                </c:pt>
                <c:pt idx="3">
                  <c:v>13177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2-471F-A94B-1E9F7656D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3102543"/>
        <c:axId val="649259503"/>
        <c:axId val="0"/>
      </c:bar3DChart>
      <c:catAx>
        <c:axId val="9231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9503"/>
        <c:crosses val="autoZero"/>
        <c:auto val="1"/>
        <c:lblAlgn val="ctr"/>
        <c:lblOffset val="100"/>
        <c:noMultiLvlLbl val="0"/>
      </c:catAx>
      <c:valAx>
        <c:axId val="6492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4EC3D4-A13A-40A2-9178-2F9C586F996E}">
  <sheetPr/>
  <sheetViews>
    <sheetView zoomScale="4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087" cy="60794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82456-D0AA-AE1B-0A35-D2D974CB31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D0420-46DD-4EF6-8A71-AD4DC973D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6B923A-0073-41ED-81B7-FCD09BCEC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6</xdr:col>
      <xdr:colOff>0</xdr:colOff>
      <xdr:row>20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71FB11-A89E-40EF-A778-4EBF3563F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6</xdr:col>
      <xdr:colOff>7620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01666-6D38-40AE-B867-F1E5AC9D6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179070</xdr:rowOff>
    </xdr:from>
    <xdr:to>
      <xdr:col>4</xdr:col>
      <xdr:colOff>807720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144FE-68E1-47D1-BD99-1B171FB20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548640</xdr:colOff>
      <xdr:row>0</xdr:row>
      <xdr:rowOff>160020</xdr:rowOff>
    </xdr:from>
    <xdr:to>
      <xdr:col>2</xdr:col>
      <xdr:colOff>521222</xdr:colOff>
      <xdr:row>5</xdr:row>
      <xdr:rowOff>2402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67A594-DD48-406D-B0CE-E6B130A1B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160020"/>
          <a:ext cx="1191782" cy="756782"/>
        </a:xfrm>
        <a:prstGeom prst="rect">
          <a:avLst/>
        </a:prstGeom>
      </xdr:spPr>
    </xdr:pic>
    <xdr:clientData/>
  </xdr:twoCellAnchor>
  <xdr:twoCellAnchor editAs="oneCell">
    <xdr:from>
      <xdr:col>2</xdr:col>
      <xdr:colOff>586740</xdr:colOff>
      <xdr:row>0</xdr:row>
      <xdr:rowOff>121921</xdr:rowOff>
    </xdr:from>
    <xdr:to>
      <xdr:col>4</xdr:col>
      <xdr:colOff>701040</xdr:colOff>
      <xdr:row>5</xdr:row>
      <xdr:rowOff>48998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3BB111-7B0D-47C3-B39C-21CA752DDD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" t="4141" r="3407" b="7139"/>
        <a:stretch/>
      </xdr:blipFill>
      <xdr:spPr>
        <a:xfrm>
          <a:off x="1805940" y="121921"/>
          <a:ext cx="1744980" cy="841477"/>
        </a:xfrm>
        <a:prstGeom prst="roundRect">
          <a:avLst/>
        </a:prstGeom>
      </xdr:spPr>
    </xdr:pic>
    <xdr:clientData/>
  </xdr:twoCellAnchor>
  <xdr:twoCellAnchor editAs="oneCell">
    <xdr:from>
      <xdr:col>4</xdr:col>
      <xdr:colOff>731521</xdr:colOff>
      <xdr:row>0</xdr:row>
      <xdr:rowOff>15240</xdr:rowOff>
    </xdr:from>
    <xdr:to>
      <xdr:col>7</xdr:col>
      <xdr:colOff>243840</xdr:colOff>
      <xdr:row>5</xdr:row>
      <xdr:rowOff>32352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E16E59-4950-4246-9DBE-1CA51CF56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21" b="22988"/>
        <a:stretch/>
      </xdr:blipFill>
      <xdr:spPr>
        <a:xfrm>
          <a:off x="3581401" y="15240"/>
          <a:ext cx="1958339" cy="931512"/>
        </a:xfrm>
        <a:prstGeom prst="rect">
          <a:avLst/>
        </a:prstGeom>
      </xdr:spPr>
    </xdr:pic>
    <xdr:clientData/>
  </xdr:twoCellAnchor>
  <xdr:twoCellAnchor editAs="oneCell">
    <xdr:from>
      <xdr:col>7</xdr:col>
      <xdr:colOff>388620</xdr:colOff>
      <xdr:row>1</xdr:row>
      <xdr:rowOff>7620</xdr:rowOff>
    </xdr:from>
    <xdr:to>
      <xdr:col>8</xdr:col>
      <xdr:colOff>563880</xdr:colOff>
      <xdr:row>4</xdr:row>
      <xdr:rowOff>136347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CFBED2-7D4E-4BA9-8078-692D9324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520" y="190500"/>
          <a:ext cx="1798320" cy="677367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171450</xdr:rowOff>
    </xdr:from>
    <xdr:to>
      <xdr:col>10</xdr:col>
      <xdr:colOff>7620</xdr:colOff>
      <xdr:row>26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B6A103-0849-4C1C-8BB4-E697B0CC9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179070</xdr:rowOff>
    </xdr:from>
    <xdr:to>
      <xdr:col>10</xdr:col>
      <xdr:colOff>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6B11F-8AED-436F-B786-54B55D1A7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179070</xdr:rowOff>
    </xdr:from>
    <xdr:to>
      <xdr:col>4</xdr:col>
      <xdr:colOff>807720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485F2-B055-486B-8F60-7BEADAE3E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556260</xdr:colOff>
      <xdr:row>0</xdr:row>
      <xdr:rowOff>160020</xdr:rowOff>
    </xdr:from>
    <xdr:to>
      <xdr:col>2</xdr:col>
      <xdr:colOff>528842</xdr:colOff>
      <xdr:row>5</xdr:row>
      <xdr:rowOff>2402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E68072-6260-413C-B852-C93FD4591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160020"/>
          <a:ext cx="1191782" cy="756782"/>
        </a:xfrm>
        <a:prstGeom prst="rect">
          <a:avLst/>
        </a:prstGeom>
      </xdr:spPr>
    </xdr:pic>
    <xdr:clientData/>
  </xdr:twoCellAnchor>
  <xdr:twoCellAnchor editAs="oneCell">
    <xdr:from>
      <xdr:col>2</xdr:col>
      <xdr:colOff>594360</xdr:colOff>
      <xdr:row>0</xdr:row>
      <xdr:rowOff>121921</xdr:rowOff>
    </xdr:from>
    <xdr:to>
      <xdr:col>4</xdr:col>
      <xdr:colOff>708660</xdr:colOff>
      <xdr:row>5</xdr:row>
      <xdr:rowOff>48998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B6ECDD-AD2C-47E2-8BF5-1979DB330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" t="4141" r="3407" b="7139"/>
        <a:stretch/>
      </xdr:blipFill>
      <xdr:spPr>
        <a:xfrm>
          <a:off x="1813560" y="121921"/>
          <a:ext cx="1744980" cy="841477"/>
        </a:xfrm>
        <a:prstGeom prst="roundRect">
          <a:avLst/>
        </a:prstGeom>
      </xdr:spPr>
    </xdr:pic>
    <xdr:clientData/>
  </xdr:twoCellAnchor>
  <xdr:twoCellAnchor editAs="oneCell">
    <xdr:from>
      <xdr:col>4</xdr:col>
      <xdr:colOff>739141</xdr:colOff>
      <xdr:row>0</xdr:row>
      <xdr:rowOff>15240</xdr:rowOff>
    </xdr:from>
    <xdr:to>
      <xdr:col>7</xdr:col>
      <xdr:colOff>251460</xdr:colOff>
      <xdr:row>5</xdr:row>
      <xdr:rowOff>32352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03733D-B5CB-4F65-B8BA-87ED05CE5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21" b="22988"/>
        <a:stretch/>
      </xdr:blipFill>
      <xdr:spPr>
        <a:xfrm>
          <a:off x="3589021" y="15240"/>
          <a:ext cx="1958339" cy="931512"/>
        </a:xfrm>
        <a:prstGeom prst="rect">
          <a:avLst/>
        </a:prstGeom>
      </xdr:spPr>
    </xdr:pic>
    <xdr:clientData/>
  </xdr:twoCellAnchor>
  <xdr:twoCellAnchor editAs="oneCell">
    <xdr:from>
      <xdr:col>7</xdr:col>
      <xdr:colOff>396240</xdr:colOff>
      <xdr:row>1</xdr:row>
      <xdr:rowOff>7620</xdr:rowOff>
    </xdr:from>
    <xdr:to>
      <xdr:col>8</xdr:col>
      <xdr:colOff>571500</xdr:colOff>
      <xdr:row>4</xdr:row>
      <xdr:rowOff>136347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171A9C-1DAB-4EFC-A533-A906E8FB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140" y="190500"/>
          <a:ext cx="1798320" cy="6773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%20-%20HOCICT/TULIEU/IIG/MOS/MOS_HOCICT/MOS%202010/PFE%202010%20by%20Me/Excel%20Core%20-%20Up/HOCICT_V10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%20-%20HOCICT/TULIEU/IIG/MOS/MOS_HOCICT/MOS%202016/MOS_BOOK_CONTENT/Projects/Excel%20-%20Project%20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Suppliers"/>
      <sheetName val="Discounts"/>
      <sheetName val="Tracker"/>
      <sheetName val="Regions"/>
      <sheetName val="HOCICT_V10001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 Inventory"/>
      <sheetName val="Exam Bookings"/>
      <sheetName val="Weekly Summary"/>
      <sheetName val="Summary"/>
      <sheetName val="Monthly Summary"/>
      <sheetName val="Survey Results"/>
      <sheetName val="Sales by Exam"/>
      <sheetName val="Bank Deposits"/>
      <sheetName val="Customers"/>
      <sheetName val="Suppliers"/>
      <sheetName val="Card Services"/>
      <sheetName val="Figure"/>
      <sheetName val="2017"/>
      <sheetName val="2018"/>
      <sheetName val="2019"/>
      <sheetName val="2020"/>
      <sheetName val="Excel - Project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 t="str">
            <v>January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F59D09-5A2C-4747-ACC6-DE5BD5437F73}" name="Table510" displayName="Table510" ref="A1:N6" totalsRowCount="1" headerRowDxfId="40" dataDxfId="39" tableBorderDxfId="38">
  <autoFilter ref="A1:N5" xr:uid="{EFA123C8-64A3-4E7C-9985-C28A04A26884}"/>
  <tableColumns count="14">
    <tableColumn id="1" xr3:uid="{406F766B-5B53-493E-A910-61B69B320E61}" name="Exam" totalsRowLabel="Total" dataDxfId="37"/>
    <tableColumn id="2" xr3:uid="{95727B14-7CC6-48DD-9760-E65E056D9380}" name="January" totalsRowFunction="sum" dataDxfId="36"/>
    <tableColumn id="3" xr3:uid="{3DC6DAAF-C102-4ED7-BFD6-A70827D5BE1F}" name="February" totalsRowFunction="sum" dataDxfId="35"/>
    <tableColumn id="4" xr3:uid="{7730C98E-675D-401D-96B2-86997939C833}" name="March" totalsRowFunction="sum" dataDxfId="34"/>
    <tableColumn id="5" xr3:uid="{CFAB77C2-8991-47F0-B484-64C0795FD75E}" name="April" totalsRowFunction="sum" dataDxfId="33"/>
    <tableColumn id="6" xr3:uid="{1B3BAB1E-6651-47AA-AC98-CA77B276301E}" name="May" totalsRowFunction="sum" dataDxfId="32"/>
    <tableColumn id="7" xr3:uid="{2C91CF44-018F-480D-A3C3-1A763CD5919E}" name="June" totalsRowFunction="sum" dataDxfId="31"/>
    <tableColumn id="8" xr3:uid="{91A36758-F3D9-4B97-9BEF-D7FACFE583B6}" name="July" totalsRowFunction="sum" dataDxfId="30"/>
    <tableColumn id="9" xr3:uid="{4A5B7FC5-A6B1-424A-A468-9F63458ED745}" name="August" totalsRowFunction="sum" dataDxfId="29"/>
    <tableColumn id="10" xr3:uid="{0C26FC5C-6F04-463D-8FBD-F1293C44E27D}" name="September" totalsRowFunction="sum" dataDxfId="28"/>
    <tableColumn id="11" xr3:uid="{8E4E4786-871D-4EA4-A06A-0F01D368512F}" name="October" totalsRowFunction="sum" dataDxfId="27"/>
    <tableColumn id="12" xr3:uid="{D539763B-FBEE-4936-8012-03BA5075BC81}" name="November" totalsRowFunction="sum" dataDxfId="26"/>
    <tableColumn id="13" xr3:uid="{8573A488-23DF-4C1D-9BB9-F592866F9744}" name="December" totalsRowFunction="sum" dataDxfId="25"/>
    <tableColumn id="14" xr3:uid="{0C1A3136-FD7D-4A6D-8777-BA1EF9889413}" name="Total" totalsRowFunction="sum" dataDxfId="24" totalsRowDxfId="23">
      <calculatedColumnFormula>SUM(Table510[[#This Row],[January]:[December]])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C104B5-8B29-4956-AACF-4F141869806C}" name="Q1_Sales" displayName="Q1_Sales" ref="A1:F5" headerRowDxfId="22" dataDxfId="21" tableBorderDxfId="20">
  <autoFilter ref="A1:F5" xr:uid="{EFA123C8-64A3-4E7C-9985-C28A04A26884}"/>
  <tableColumns count="6">
    <tableColumn id="1" xr3:uid="{08F5C39E-F41E-4B88-B700-FF5D7AC4F1C2}" name="Exam" totalsRowLabel="Total" dataDxfId="19" totalsRowDxfId="18"/>
    <tableColumn id="2" xr3:uid="{C5EAB58F-CF70-44F6-80B6-7472B23C60F6}" name="January" totalsRowFunction="sum" dataDxfId="17" totalsRowDxfId="16"/>
    <tableColumn id="3" xr3:uid="{775BFA65-B4A0-49AC-8D9C-5B4D6FAA1B3B}" name="February" totalsRowFunction="sum" dataDxfId="15" totalsRowDxfId="14"/>
    <tableColumn id="4" xr3:uid="{AC48037B-C9DE-45AE-BFD9-9D3EBD4B553C}" name="March" totalsRowFunction="sum" dataDxfId="13" totalsRowDxfId="12"/>
    <tableColumn id="14" xr3:uid="{37930CA3-1E60-4BD5-992D-81D76EC070AB}" name="Total" dataDxfId="11">
      <calculatedColumnFormula>SUM(Q1_Sales[[#This Row],[January]:[March]])</calculatedColumnFormula>
    </tableColumn>
    <tableColumn id="15" xr3:uid="{B0B8B1B7-EB3F-4CF1-8EA8-20D759F294C0}" name="Bonus" dataDxfId="10" totalsRow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EE877-2425-4A4F-AEE1-C106D0897FA2}" name="Table1" displayName="Table1" ref="A2:F6" totalsRowShown="0" headerRowDxfId="8" dataDxfId="7" tableBorderDxfId="6">
  <autoFilter ref="A2:F6" xr:uid="{CF8EE877-2425-4A4F-AEE1-C106D0897FA2}"/>
  <tableColumns count="6">
    <tableColumn id="1" xr3:uid="{BF23BEBA-1084-4449-9219-FD87F8DE225F}" name="Test Site" dataDxfId="5"/>
    <tableColumn id="2" xr3:uid="{E75DD577-9150-41F4-9D9C-B260C5810CED}" name="April" dataDxfId="4"/>
    <tableColumn id="3" xr3:uid="{8517FA90-5F19-4A8A-85F5-C2969EE8EEB1}" name="May" dataDxfId="3"/>
    <tableColumn id="4" xr3:uid="{B6D5F01E-AF5C-4105-BAB8-EA50D0FB67EF}" name="June" dataDxfId="2"/>
    <tableColumn id="5" xr3:uid="{E3B5F8CE-6558-474C-B5E7-7FABBB588E4C}" name="Total" dataDxfId="1">
      <calculatedColumnFormula>SUM('Q2 Sales'!$B3:$D3)</calculatedColumnFormula>
    </tableColumn>
    <tableColumn id="6" xr3:uid="{084F21C8-B6AD-4240-81C4-D1790B731E8F}" name="Growth Trend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59E5-FE8C-421D-8688-F86689E77356}">
  <dimension ref="A1:F14"/>
  <sheetViews>
    <sheetView workbookViewId="0">
      <selection sqref="A1:F1"/>
    </sheetView>
  </sheetViews>
  <sheetFormatPr defaultRowHeight="14.4" x14ac:dyDescent="0.3"/>
  <cols>
    <col min="1" max="1" width="19.44140625" customWidth="1"/>
    <col min="2" max="2" width="26.6640625" customWidth="1"/>
    <col min="3" max="3" width="3.33203125" customWidth="1"/>
    <col min="4" max="6" width="15.77734375" customWidth="1"/>
  </cols>
  <sheetData>
    <row r="1" spans="1:6" x14ac:dyDescent="0.3">
      <c r="A1" s="31" t="s">
        <v>18</v>
      </c>
      <c r="B1" s="31"/>
      <c r="C1" s="31"/>
      <c r="D1" s="31"/>
      <c r="E1" s="31"/>
      <c r="F1" s="31"/>
    </row>
    <row r="3" spans="1:6" x14ac:dyDescent="0.3">
      <c r="A3" s="4" t="s">
        <v>19</v>
      </c>
      <c r="B3" t="s">
        <v>20</v>
      </c>
    </row>
    <row r="5" spans="1:6" x14ac:dyDescent="0.3">
      <c r="A5" s="4" t="s">
        <v>21</v>
      </c>
      <c r="B5" t="s">
        <v>22</v>
      </c>
      <c r="D5" s="5" t="s">
        <v>31</v>
      </c>
      <c r="E5" s="5" t="s">
        <v>32</v>
      </c>
      <c r="F5" s="5" t="s">
        <v>33</v>
      </c>
    </row>
    <row r="6" spans="1:6" x14ac:dyDescent="0.3">
      <c r="B6" t="s">
        <v>23</v>
      </c>
    </row>
    <row r="7" spans="1:6" x14ac:dyDescent="0.3">
      <c r="B7" t="s">
        <v>24</v>
      </c>
    </row>
    <row r="8" spans="1:6" x14ac:dyDescent="0.3">
      <c r="B8" t="s">
        <v>25</v>
      </c>
    </row>
    <row r="9" spans="1:6" x14ac:dyDescent="0.3">
      <c r="B9" t="s">
        <v>26</v>
      </c>
    </row>
    <row r="11" spans="1:6" x14ac:dyDescent="0.3">
      <c r="A11" s="2" t="s">
        <v>27</v>
      </c>
      <c r="B11" t="s">
        <v>28</v>
      </c>
    </row>
    <row r="12" spans="1:6" x14ac:dyDescent="0.3">
      <c r="B12" t="s">
        <v>29</v>
      </c>
    </row>
    <row r="13" spans="1:6" x14ac:dyDescent="0.3">
      <c r="B13" t="s">
        <v>24</v>
      </c>
    </row>
    <row r="14" spans="1:6" x14ac:dyDescent="0.3">
      <c r="B14" t="s">
        <v>30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AED8-4A27-4339-9A6C-89E8193CA6A5}">
  <dimension ref="A1:N6"/>
  <sheetViews>
    <sheetView zoomScaleNormal="100" workbookViewId="0">
      <selection activeCell="O17" sqref="O17"/>
    </sheetView>
  </sheetViews>
  <sheetFormatPr defaultColWidth="8.88671875" defaultRowHeight="14.4" x14ac:dyDescent="0.3"/>
  <cols>
    <col min="1" max="13" width="14.5546875" customWidth="1"/>
  </cols>
  <sheetData>
    <row r="1" spans="1:14" x14ac:dyDescent="0.3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14</v>
      </c>
      <c r="B2" s="1">
        <v>3929</v>
      </c>
      <c r="C2" s="1">
        <v>5098</v>
      </c>
      <c r="D2" s="1">
        <v>2928</v>
      </c>
      <c r="E2" s="1">
        <v>6128</v>
      </c>
      <c r="F2" s="1">
        <v>2785</v>
      </c>
      <c r="G2" s="1">
        <v>7063</v>
      </c>
      <c r="H2" s="1">
        <v>2547</v>
      </c>
      <c r="I2" s="1">
        <v>5546</v>
      </c>
      <c r="J2" s="1">
        <v>3188</v>
      </c>
      <c r="K2" s="1">
        <v>4488</v>
      </c>
      <c r="L2" s="1">
        <v>5566</v>
      </c>
      <c r="M2" s="1">
        <v>5211</v>
      </c>
      <c r="N2">
        <f>SUM(Table510[[#This Row],[January]:[December]])</f>
        <v>54477</v>
      </c>
    </row>
    <row r="3" spans="1:14" x14ac:dyDescent="0.3">
      <c r="A3" s="1" t="s">
        <v>15</v>
      </c>
      <c r="B3" s="1">
        <v>5877</v>
      </c>
      <c r="C3" s="1">
        <v>3846</v>
      </c>
      <c r="D3" s="1">
        <v>4471</v>
      </c>
      <c r="E3" s="1">
        <v>4476</v>
      </c>
      <c r="F3" s="1">
        <v>1861</v>
      </c>
      <c r="G3" s="1">
        <v>4829</v>
      </c>
      <c r="H3" s="1">
        <v>6747</v>
      </c>
      <c r="I3" s="1">
        <v>3078</v>
      </c>
      <c r="J3" s="1">
        <v>5955</v>
      </c>
      <c r="K3" s="1">
        <v>5048</v>
      </c>
      <c r="L3" s="1">
        <v>4156</v>
      </c>
      <c r="M3" s="1">
        <v>3227</v>
      </c>
      <c r="N3">
        <f>SUM(Table510[[#This Row],[January]:[December]])</f>
        <v>53571</v>
      </c>
    </row>
    <row r="4" spans="1:14" x14ac:dyDescent="0.3">
      <c r="A4" s="1" t="s">
        <v>16</v>
      </c>
      <c r="B4" s="1">
        <v>3270</v>
      </c>
      <c r="C4" s="1">
        <v>5465</v>
      </c>
      <c r="D4" s="1">
        <v>3811</v>
      </c>
      <c r="E4" s="1">
        <v>3258</v>
      </c>
      <c r="F4" s="1">
        <v>4092</v>
      </c>
      <c r="G4" s="1">
        <v>3671</v>
      </c>
      <c r="H4" s="1">
        <v>6105</v>
      </c>
      <c r="I4" s="1">
        <v>4773</v>
      </c>
      <c r="J4" s="1">
        <v>3420</v>
      </c>
      <c r="K4" s="1">
        <v>1930</v>
      </c>
      <c r="L4" s="1">
        <v>6539</v>
      </c>
      <c r="M4" s="1">
        <v>6290</v>
      </c>
      <c r="N4">
        <f>SUM(Table510[[#This Row],[January]:[December]])</f>
        <v>52624</v>
      </c>
    </row>
    <row r="5" spans="1:14" x14ac:dyDescent="0.3">
      <c r="A5" s="1" t="s">
        <v>17</v>
      </c>
      <c r="B5" s="1">
        <v>5222</v>
      </c>
      <c r="C5" s="1">
        <v>3966</v>
      </c>
      <c r="D5" s="1">
        <v>3323</v>
      </c>
      <c r="E5" s="1">
        <v>4727</v>
      </c>
      <c r="F5" s="1">
        <v>4672</v>
      </c>
      <c r="G5" s="1">
        <v>6204</v>
      </c>
      <c r="H5" s="1">
        <v>4884</v>
      </c>
      <c r="I5" s="1">
        <v>4281</v>
      </c>
      <c r="J5" s="1">
        <v>5654</v>
      </c>
      <c r="K5" s="1">
        <v>4124</v>
      </c>
      <c r="L5" s="1">
        <v>3347</v>
      </c>
      <c r="M5" s="1">
        <v>5706</v>
      </c>
      <c r="N5">
        <f>SUM(Table510[[#This Row],[January]:[December]])</f>
        <v>56110</v>
      </c>
    </row>
    <row r="6" spans="1:14" x14ac:dyDescent="0.3">
      <c r="A6" t="s">
        <v>12</v>
      </c>
      <c r="B6">
        <f>SUBTOTAL(109,Table510[January])</f>
        <v>18298</v>
      </c>
      <c r="C6">
        <f>SUBTOTAL(109,Table510[February])</f>
        <v>18375</v>
      </c>
      <c r="D6">
        <f>SUBTOTAL(109,Table510[March])</f>
        <v>14533</v>
      </c>
      <c r="E6">
        <f>SUBTOTAL(109,Table510[April])</f>
        <v>18589</v>
      </c>
      <c r="F6">
        <f>SUBTOTAL(109,Table510[May])</f>
        <v>13410</v>
      </c>
      <c r="G6">
        <f>SUBTOTAL(109,Table510[June])</f>
        <v>21767</v>
      </c>
      <c r="H6">
        <f>SUBTOTAL(109,Table510[July])</f>
        <v>20283</v>
      </c>
      <c r="I6">
        <f>SUBTOTAL(109,Table510[August])</f>
        <v>17678</v>
      </c>
      <c r="J6">
        <f>SUBTOTAL(109,Table510[September])</f>
        <v>18217</v>
      </c>
      <c r="K6">
        <f>SUBTOTAL(109,Table510[October])</f>
        <v>15590</v>
      </c>
      <c r="L6">
        <f>SUBTOTAL(109,Table510[November])</f>
        <v>19608</v>
      </c>
      <c r="M6">
        <f>SUBTOTAL(109,Table510[December])</f>
        <v>20434</v>
      </c>
      <c r="N6">
        <f>SUBTOTAL(109,Table510[Total])</f>
        <v>216782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BC3D-12E1-422E-821C-8CF6C334C52E}">
  <dimension ref="A1:F5"/>
  <sheetViews>
    <sheetView zoomScaleNormal="100" workbookViewId="0">
      <selection activeCell="F2" sqref="F2"/>
    </sheetView>
  </sheetViews>
  <sheetFormatPr defaultColWidth="8.88671875" defaultRowHeight="14.4" x14ac:dyDescent="0.3"/>
  <cols>
    <col min="1" max="1" width="7.77734375" customWidth="1"/>
    <col min="2" max="4" width="13.77734375" customWidth="1"/>
    <col min="5" max="5" width="7.44140625" customWidth="1"/>
    <col min="6" max="6" width="23.6640625" customWidth="1"/>
  </cols>
  <sheetData>
    <row r="1" spans="1:6" x14ac:dyDescent="0.3">
      <c r="A1" s="3" t="s">
        <v>13</v>
      </c>
      <c r="B1" s="3" t="s">
        <v>0</v>
      </c>
      <c r="C1" s="3" t="s">
        <v>1</v>
      </c>
      <c r="D1" s="3" t="s">
        <v>2</v>
      </c>
      <c r="E1" s="3" t="s">
        <v>12</v>
      </c>
      <c r="F1" s="3" t="s">
        <v>40</v>
      </c>
    </row>
    <row r="2" spans="1:6" x14ac:dyDescent="0.3">
      <c r="A2" s="1" t="s">
        <v>14</v>
      </c>
      <c r="B2" s="1">
        <v>4608</v>
      </c>
      <c r="C2" s="1">
        <v>2709</v>
      </c>
      <c r="D2" s="1">
        <v>2513</v>
      </c>
      <c r="E2" s="2">
        <f>SUM(Q1_Sales[[#This Row],[January]:[March]])</f>
        <v>9830</v>
      </c>
    </row>
    <row r="3" spans="1:6" x14ac:dyDescent="0.3">
      <c r="A3" s="1" t="s">
        <v>15</v>
      </c>
      <c r="B3" s="1">
        <v>3497</v>
      </c>
      <c r="C3" s="1">
        <v>4090</v>
      </c>
      <c r="D3" s="1">
        <v>4943</v>
      </c>
      <c r="E3" s="2">
        <f>SUM(Q1_Sales[[#This Row],[January]:[March]])</f>
        <v>12530</v>
      </c>
    </row>
    <row r="4" spans="1:6" x14ac:dyDescent="0.3">
      <c r="A4" s="1" t="s">
        <v>16</v>
      </c>
      <c r="B4" s="1">
        <v>2806</v>
      </c>
      <c r="C4" s="1">
        <v>3733</v>
      </c>
      <c r="D4" s="1">
        <v>2625</v>
      </c>
      <c r="E4" s="2">
        <f>SUM(Q1_Sales[[#This Row],[January]:[March]])</f>
        <v>9164</v>
      </c>
    </row>
    <row r="5" spans="1:6" x14ac:dyDescent="0.3">
      <c r="A5" s="1" t="s">
        <v>17</v>
      </c>
      <c r="B5" s="1">
        <v>4331</v>
      </c>
      <c r="C5" s="1">
        <v>3951</v>
      </c>
      <c r="D5" s="1">
        <v>4193</v>
      </c>
      <c r="E5" s="2">
        <f>SUM(Q1_Sales[[#This Row],[January]:[March]])</f>
        <v>12475</v>
      </c>
    </row>
  </sheetData>
  <sortState xmlns:xlrd2="http://schemas.microsoft.com/office/spreadsheetml/2017/richdata2" ref="A2:D17">
    <sortCondition ref="A2:A17"/>
  </sortState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B95-7A4B-4E7A-BA39-8582FF1D0236}">
  <dimension ref="A1:F6"/>
  <sheetViews>
    <sheetView zoomScaleNormal="100" workbookViewId="0">
      <selection activeCell="A3" sqref="A3"/>
    </sheetView>
  </sheetViews>
  <sheetFormatPr defaultColWidth="8.88671875" defaultRowHeight="14.4" x14ac:dyDescent="0.3"/>
  <cols>
    <col min="1" max="1" width="24.5546875" bestFit="1" customWidth="1"/>
    <col min="2" max="4" width="13.77734375" customWidth="1"/>
    <col min="5" max="5" width="7.44140625" customWidth="1"/>
    <col min="6" max="6" width="23.6640625" customWidth="1"/>
  </cols>
  <sheetData>
    <row r="1" spans="1:6" ht="23.4" x14ac:dyDescent="0.45">
      <c r="A1" s="28" t="s">
        <v>45</v>
      </c>
    </row>
    <row r="2" spans="1:6" x14ac:dyDescent="0.3">
      <c r="A2" s="26" t="s">
        <v>46</v>
      </c>
      <c r="B2" s="26" t="s">
        <v>3</v>
      </c>
      <c r="C2" s="26" t="s">
        <v>4</v>
      </c>
      <c r="D2" s="26" t="s">
        <v>5</v>
      </c>
      <c r="E2" s="26" t="s">
        <v>12</v>
      </c>
      <c r="F2" s="26" t="s">
        <v>34</v>
      </c>
    </row>
    <row r="3" spans="1:6" x14ac:dyDescent="0.3">
      <c r="A3" s="1" t="s">
        <v>41</v>
      </c>
      <c r="B3" s="1">
        <v>6128</v>
      </c>
      <c r="C3" s="1">
        <v>2785</v>
      </c>
      <c r="D3" s="1">
        <v>7063</v>
      </c>
      <c r="E3" s="17">
        <f>SUM('Q2 Sales'!$B3:$D3)</f>
        <v>15976</v>
      </c>
      <c r="F3" s="27"/>
    </row>
    <row r="4" spans="1:6" x14ac:dyDescent="0.3">
      <c r="A4" s="1" t="s">
        <v>42</v>
      </c>
      <c r="B4" s="1">
        <v>4476</v>
      </c>
      <c r="C4" s="1">
        <v>1861</v>
      </c>
      <c r="D4" s="1">
        <v>4829</v>
      </c>
      <c r="E4" s="17">
        <f>SUM('Q2 Sales'!$B4:$D4)</f>
        <v>11166</v>
      </c>
      <c r="F4" s="27"/>
    </row>
    <row r="5" spans="1:6" x14ac:dyDescent="0.3">
      <c r="A5" s="1" t="s">
        <v>43</v>
      </c>
      <c r="B5" s="1">
        <v>3258</v>
      </c>
      <c r="C5" s="1">
        <v>4092</v>
      </c>
      <c r="D5" s="1">
        <v>3671</v>
      </c>
      <c r="E5" s="17">
        <f>SUM('Q2 Sales'!$B5:$D5)</f>
        <v>11021</v>
      </c>
      <c r="F5" s="27"/>
    </row>
    <row r="6" spans="1:6" x14ac:dyDescent="0.3">
      <c r="A6" s="1" t="s">
        <v>44</v>
      </c>
      <c r="B6" s="1">
        <v>4727</v>
      </c>
      <c r="C6" s="1">
        <v>4672</v>
      </c>
      <c r="D6" s="1">
        <v>6204</v>
      </c>
      <c r="E6" s="17">
        <f>SUM('Q2 Sales'!$B6:$D6)</f>
        <v>15603</v>
      </c>
      <c r="F6" s="27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5CCF-D538-42A5-A6C0-6981E5B09547}">
  <dimension ref="A1:J11"/>
  <sheetViews>
    <sheetView zoomScaleNormal="100" workbookViewId="0">
      <selection activeCell="O17" sqref="O17"/>
    </sheetView>
  </sheetViews>
  <sheetFormatPr defaultColWidth="8.88671875" defaultRowHeight="14.4" x14ac:dyDescent="0.3"/>
  <cols>
    <col min="3" max="7" width="11.88671875" customWidth="1"/>
    <col min="8" max="8" width="23.6640625" customWidth="1"/>
  </cols>
  <sheetData>
    <row r="1" spans="1:10" x14ac:dyDescent="0.3">
      <c r="A1" s="31"/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3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x14ac:dyDescent="0.3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 s="19" customFormat="1" x14ac:dyDescent="0.3">
      <c r="C7" s="20" t="s">
        <v>13</v>
      </c>
      <c r="D7" s="21" t="s">
        <v>6</v>
      </c>
      <c r="E7" s="21" t="s">
        <v>7</v>
      </c>
      <c r="F7" s="21" t="s">
        <v>8</v>
      </c>
      <c r="G7" s="22" t="s">
        <v>12</v>
      </c>
      <c r="H7" s="23" t="s">
        <v>34</v>
      </c>
    </row>
    <row r="8" spans="1:10" x14ac:dyDescent="0.3">
      <c r="C8" s="6" t="s">
        <v>14</v>
      </c>
      <c r="D8" s="13">
        <v>2547</v>
      </c>
      <c r="E8" s="13">
        <v>5546</v>
      </c>
      <c r="F8" s="13">
        <v>3188</v>
      </c>
      <c r="G8" s="16">
        <f>SUM('Q3 Sales'!$D8:$F8)</f>
        <v>11281</v>
      </c>
      <c r="H8" s="7"/>
    </row>
    <row r="9" spans="1:10" x14ac:dyDescent="0.3">
      <c r="C9" s="8" t="s">
        <v>15</v>
      </c>
      <c r="D9" s="11">
        <v>6747</v>
      </c>
      <c r="E9" s="11">
        <v>3078</v>
      </c>
      <c r="F9" s="11">
        <v>5955</v>
      </c>
      <c r="G9" s="17">
        <f>SUM('Q3 Sales'!$D9:$F9)</f>
        <v>15780</v>
      </c>
      <c r="H9" s="9"/>
    </row>
    <row r="10" spans="1:10" x14ac:dyDescent="0.3">
      <c r="C10" s="6" t="s">
        <v>16</v>
      </c>
      <c r="D10" s="13">
        <v>6105</v>
      </c>
      <c r="E10" s="13">
        <v>4773</v>
      </c>
      <c r="F10" s="13">
        <v>3420</v>
      </c>
      <c r="G10" s="16">
        <f>SUM('Q3 Sales'!$D10:$F10)</f>
        <v>14298</v>
      </c>
      <c r="H10" s="7"/>
    </row>
    <row r="11" spans="1:10" x14ac:dyDescent="0.3">
      <c r="C11" s="10" t="s">
        <v>17</v>
      </c>
      <c r="D11" s="11">
        <v>4884</v>
      </c>
      <c r="E11" s="11">
        <v>4281</v>
      </c>
      <c r="F11" s="11">
        <v>5654</v>
      </c>
      <c r="G11" s="18">
        <f>SUM('Q3 Sales'!$D11:$F11)</f>
        <v>14819</v>
      </c>
      <c r="H11" s="12"/>
    </row>
  </sheetData>
  <mergeCells count="1">
    <mergeCell ref="A1:J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406D-A72B-4E4C-9893-CC8FDD799241}">
  <dimension ref="A1:M11"/>
  <sheetViews>
    <sheetView tabSelected="1" topLeftCell="F1" zoomScaleNormal="100" workbookViewId="0">
      <selection activeCell="M2" sqref="M2"/>
    </sheetView>
  </sheetViews>
  <sheetFormatPr defaultColWidth="8.88671875" defaultRowHeight="14.4" x14ac:dyDescent="0.3"/>
  <cols>
    <col min="3" max="7" width="11.88671875" customWidth="1"/>
    <col min="8" max="8" width="23.6640625" customWidth="1"/>
    <col min="12" max="12" width="11.109375" customWidth="1"/>
  </cols>
  <sheetData>
    <row r="1" spans="1:13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M1" s="30" t="s">
        <v>48</v>
      </c>
    </row>
    <row r="2" spans="1:13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M2" s="29">
        <v>6.8000000000000005E-2</v>
      </c>
    </row>
    <row r="3" spans="1:13" x14ac:dyDescent="0.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3" x14ac:dyDescent="0.3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3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3" x14ac:dyDescent="0.3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3" s="19" customFormat="1" x14ac:dyDescent="0.3">
      <c r="C7" s="20" t="s">
        <v>13</v>
      </c>
      <c r="D7" s="21" t="s">
        <v>9</v>
      </c>
      <c r="E7" s="21" t="s">
        <v>10</v>
      </c>
      <c r="F7" s="24" t="s">
        <v>11</v>
      </c>
      <c r="G7" s="22" t="s">
        <v>12</v>
      </c>
      <c r="H7" s="23" t="s">
        <v>47</v>
      </c>
    </row>
    <row r="8" spans="1:13" x14ac:dyDescent="0.3">
      <c r="C8" s="6" t="s">
        <v>14</v>
      </c>
      <c r="D8" s="13">
        <v>4488</v>
      </c>
      <c r="E8" s="13">
        <v>5566</v>
      </c>
      <c r="F8" s="14">
        <v>5211</v>
      </c>
      <c r="G8" s="16">
        <f>SUM('Q4 Sales'!$D8:$F8)</f>
        <v>15265</v>
      </c>
      <c r="H8" s="7"/>
    </row>
    <row r="9" spans="1:13" x14ac:dyDescent="0.3">
      <c r="C9" s="8" t="s">
        <v>15</v>
      </c>
      <c r="D9" s="11">
        <v>5048</v>
      </c>
      <c r="E9" s="11">
        <v>4156</v>
      </c>
      <c r="F9" s="15">
        <v>3227</v>
      </c>
      <c r="G9" s="17">
        <f>SUM('Q4 Sales'!$D9:$F9)</f>
        <v>12431</v>
      </c>
      <c r="H9" s="9"/>
    </row>
    <row r="10" spans="1:13" x14ac:dyDescent="0.3">
      <c r="C10" s="6" t="s">
        <v>16</v>
      </c>
      <c r="D10" s="13">
        <v>1930</v>
      </c>
      <c r="E10" s="13">
        <v>6539</v>
      </c>
      <c r="F10" s="14">
        <v>6290</v>
      </c>
      <c r="G10" s="16">
        <f>SUM('Q4 Sales'!$D10:$F10)</f>
        <v>14759</v>
      </c>
      <c r="H10" s="7"/>
    </row>
    <row r="11" spans="1:13" x14ac:dyDescent="0.3">
      <c r="C11" s="10" t="s">
        <v>17</v>
      </c>
      <c r="D11" s="11">
        <v>4124</v>
      </c>
      <c r="E11" s="11">
        <v>3347</v>
      </c>
      <c r="F11" s="15">
        <v>5706</v>
      </c>
      <c r="G11" s="18">
        <f>SUM('Q4 Sales'!$D11:$F11)</f>
        <v>13177</v>
      </c>
      <c r="H11" s="12"/>
    </row>
  </sheetData>
  <mergeCells count="1">
    <mergeCell ref="A1:J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9F3-BBC8-42F2-A34F-9A8B66ED7774}">
  <dimension ref="A1:E11"/>
  <sheetViews>
    <sheetView workbookViewId="0">
      <selection activeCell="A5" sqref="A5:E5"/>
    </sheetView>
  </sheetViews>
  <sheetFormatPr defaultRowHeight="14.4" x14ac:dyDescent="0.3"/>
  <cols>
    <col min="1" max="1" width="5" customWidth="1"/>
    <col min="2" max="2" width="10.6640625" customWidth="1"/>
    <col min="3" max="4" width="10.109375" customWidth="1"/>
    <col min="5" max="5" width="27" customWidth="1"/>
    <col min="6" max="6" width="11.77734375" customWidth="1"/>
  </cols>
  <sheetData>
    <row r="1" spans="1:5" ht="23.4" x14ac:dyDescent="0.45">
      <c r="A1" s="32" t="s">
        <v>38</v>
      </c>
      <c r="B1" s="32"/>
      <c r="C1" s="32"/>
      <c r="D1" s="32"/>
      <c r="E1" s="32"/>
    </row>
    <row r="2" spans="1:5" x14ac:dyDescent="0.3">
      <c r="A2" s="31" t="s">
        <v>35</v>
      </c>
      <c r="B2" s="31"/>
      <c r="C2" s="31"/>
      <c r="D2" s="31"/>
      <c r="E2" s="31"/>
    </row>
    <row r="3" spans="1:5" x14ac:dyDescent="0.3">
      <c r="A3" s="31" t="s">
        <v>36</v>
      </c>
      <c r="B3" s="31"/>
      <c r="C3" s="31"/>
      <c r="D3" s="31"/>
      <c r="E3" s="31"/>
    </row>
    <row r="4" spans="1:5" x14ac:dyDescent="0.3">
      <c r="A4" s="31" t="s">
        <v>37</v>
      </c>
      <c r="B4" s="31"/>
      <c r="C4" s="31"/>
      <c r="D4" s="31"/>
      <c r="E4" s="31"/>
    </row>
    <row r="5" spans="1:5" x14ac:dyDescent="0.3">
      <c r="A5" s="31" t="s">
        <v>39</v>
      </c>
      <c r="B5" s="31"/>
      <c r="C5" s="31"/>
      <c r="D5" s="31"/>
      <c r="E5" s="31"/>
    </row>
    <row r="8" spans="1:5" x14ac:dyDescent="0.3">
      <c r="E8" s="25"/>
    </row>
    <row r="9" spans="1:5" x14ac:dyDescent="0.3">
      <c r="E9" s="25"/>
    </row>
    <row r="10" spans="1:5" x14ac:dyDescent="0.3">
      <c r="E10" s="25"/>
    </row>
    <row r="11" spans="1:5" x14ac:dyDescent="0.3">
      <c r="E11" s="25"/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Survey Results</vt:lpstr>
      <vt:lpstr>Summary</vt:lpstr>
      <vt:lpstr>Q1 Sales</vt:lpstr>
      <vt:lpstr>Q2 Sales</vt:lpstr>
      <vt:lpstr>Q3 Sales</vt:lpstr>
      <vt:lpstr>Q4 Sales</vt:lpstr>
      <vt:lpstr>Lecturers</vt:lpstr>
      <vt:lpstr>Sales by month</vt:lpstr>
    </vt:vector>
  </TitlesOfParts>
  <Company>HOCICT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TRAN THAI HOC</dc:creator>
  <cp:lastModifiedBy>Ly Tran Thai Hoc</cp:lastModifiedBy>
  <dcterms:created xsi:type="dcterms:W3CDTF">2015-03-31T03:19:22Z</dcterms:created>
  <dcterms:modified xsi:type="dcterms:W3CDTF">2024-04-01T13:16:11Z</dcterms:modified>
</cp:coreProperties>
</file>