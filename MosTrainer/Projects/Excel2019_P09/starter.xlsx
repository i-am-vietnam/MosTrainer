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CI Documents\MOS\MOS_HOCICT\MOS 2019\MOS_BOOK_CONTENT\Projects\"/>
    </mc:Choice>
  </mc:AlternateContent>
  <xr:revisionPtr revIDLastSave="0" documentId="13_ncr:1_{89320769-667C-4353-A0B0-82893ED57B2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voice" sheetId="20" r:id="rId1"/>
    <sheet name="Supplier Information" sheetId="37" r:id="rId2"/>
    <sheet name="Summary" sheetId="39" r:id="rId3"/>
  </sheets>
  <externalReferences>
    <externalReference r:id="rId4"/>
  </externalReferences>
  <definedNames>
    <definedName name="_xlnm._FilterDatabase" localSheetId="0" hidden="1">Invoice!$A$1:$L$11</definedName>
    <definedName name="_xlnm._FilterDatabase" localSheetId="1" hidden="1">'Supplier Information'!$B$2:$C$7</definedName>
    <definedName name="Canada">#REF!</definedName>
    <definedName name="Convertible">#REF!</definedName>
    <definedName name="Discount2008">[1]!Table1[[#All],[Discount 2008]]</definedName>
    <definedName name="Discount2009">[1]!Table1[[#All],[Discount 2009]]</definedName>
    <definedName name="SUPPLIER_NAME" localSheetId="0">Invoice!$B$1:$B$11</definedName>
    <definedName name="SUPPLIER_NAME" localSheetId="1">'Supplier Information'!$C$2:$C$7</definedName>
    <definedName name="SUPPLIER_NAME">#REF!</definedName>
    <definedName name="SupplierOrder">[1]!SupplierRank[#Data]</definedName>
    <definedName name="Year_2017">#REF!</definedName>
  </definedNames>
  <calcPr calcId="191029"/>
</workbook>
</file>

<file path=xl/calcChain.xml><?xml version="1.0" encoding="utf-8"?>
<calcChain xmlns="http://schemas.openxmlformats.org/spreadsheetml/2006/main">
  <c r="A4" i="37" l="1"/>
  <c r="A5" i="37"/>
  <c r="A3" i="37"/>
  <c r="G3" i="20" l="1"/>
  <c r="G6" i="20"/>
  <c r="G7" i="20"/>
  <c r="G8" i="20"/>
  <c r="G9" i="20"/>
  <c r="G10" i="20"/>
  <c r="G11" i="20"/>
  <c r="G2" i="20"/>
  <c r="G4" i="20"/>
  <c r="G5" i="20"/>
  <c r="G12" i="20" l="1"/>
</calcChain>
</file>

<file path=xl/sharedStrings.xml><?xml version="1.0" encoding="utf-8"?>
<sst xmlns="http://schemas.openxmlformats.org/spreadsheetml/2006/main" count="58" uniqueCount="47">
  <si>
    <t>PART NUMBER</t>
  </si>
  <si>
    <t>SUPPLIER NAME</t>
  </si>
  <si>
    <t>TOY CATEGORY</t>
  </si>
  <si>
    <t>TOY DETAIL</t>
  </si>
  <si>
    <t>QUANTITY IN STOCK</t>
  </si>
  <si>
    <t>STOCK VALUE</t>
  </si>
  <si>
    <t>PRICE</t>
  </si>
  <si>
    <t>Lucky Atlantic Imports</t>
  </si>
  <si>
    <t>Building Toys</t>
  </si>
  <si>
    <t>Toy Bucket Corporation</t>
  </si>
  <si>
    <t>Books</t>
  </si>
  <si>
    <t>Educational Fun, Ltd</t>
  </si>
  <si>
    <t>Outdoor</t>
  </si>
  <si>
    <t>Building Blocks Medium</t>
  </si>
  <si>
    <t>Mat</t>
  </si>
  <si>
    <t>Soft Toys</t>
  </si>
  <si>
    <t>Interactive</t>
  </si>
  <si>
    <t>Wooden Toys</t>
  </si>
  <si>
    <t>Mobiles</t>
  </si>
  <si>
    <t>Dolls</t>
  </si>
  <si>
    <t>Film characters</t>
  </si>
  <si>
    <t>Large</t>
  </si>
  <si>
    <t>Animals</t>
  </si>
  <si>
    <t>9-12 Months</t>
  </si>
  <si>
    <t>Play Gym</t>
  </si>
  <si>
    <t>Well known charcters</t>
  </si>
  <si>
    <t>Cars</t>
  </si>
  <si>
    <t>Pushchair Toys</t>
  </si>
  <si>
    <t>Prestige</t>
  </si>
  <si>
    <t>P004</t>
  </si>
  <si>
    <t>P014</t>
  </si>
  <si>
    <t>P016</t>
  </si>
  <si>
    <t>P017</t>
  </si>
  <si>
    <t>P020</t>
  </si>
  <si>
    <t>P027</t>
  </si>
  <si>
    <t>P029</t>
  </si>
  <si>
    <t>P034</t>
  </si>
  <si>
    <t>P043</t>
  </si>
  <si>
    <t>P047</t>
  </si>
  <si>
    <t>Supplier Information</t>
  </si>
  <si>
    <t>Maximum Stock Value:</t>
  </si>
  <si>
    <t>Email Address</t>
  </si>
  <si>
    <t>Studying</t>
  </si>
  <si>
    <t>Total Value</t>
  </si>
  <si>
    <t>Suppliers Information</t>
  </si>
  <si>
    <t>SupplierID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</si>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</sst>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2" fillId="0" borderId="4" applyNumberFormat="0" applyFill="0" applyAlignment="0" applyProtection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7" fillId="2" borderId="1" xfId="0" applyFont="1" applyFill="1" applyBorder="1"/>
    <xf numFmtId="0" fontId="7" fillId="2" borderId="3" xfId="0" applyFont="1" applyFill="1" applyBorder="1"/>
    <xf numFmtId="0" fontId="7" fillId="2" borderId="5" xfId="0" applyFont="1" applyFill="1" applyBorder="1"/>
    <xf numFmtId="0" fontId="6" fillId="0" borderId="1" xfId="0" applyFont="1" applyBorder="1"/>
    <xf numFmtId="0" fontId="5" fillId="0" borderId="3" xfId="0" applyFont="1" applyBorder="1"/>
    <xf numFmtId="1" fontId="5" fillId="0" borderId="5" xfId="0" applyNumberFormat="1" applyFont="1" applyBorder="1"/>
    <xf numFmtId="0" fontId="6" fillId="0" borderId="6" xfId="0" applyFont="1" applyBorder="1"/>
    <xf numFmtId="0" fontId="5" fillId="0" borderId="7" xfId="0" applyFont="1" applyBorder="1"/>
    <xf numFmtId="1" fontId="5" fillId="0" borderId="8" xfId="0" applyNumberFormat="1" applyFont="1" applyBorder="1"/>
    <xf numFmtId="0" fontId="0" fillId="0" borderId="9" xfId="0" applyBorder="1"/>
    <xf numFmtId="0" fontId="5" fillId="0" borderId="9" xfId="0" applyFont="1" applyBorder="1"/>
    <xf numFmtId="0" fontId="3" fillId="4" borderId="9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2" fillId="0" borderId="4" xfId="2"/>
    <xf numFmtId="164" fontId="5" fillId="0" borderId="3" xfId="0" applyNumberFormat="1" applyFont="1" applyBorder="1"/>
    <xf numFmtId="164" fontId="5" fillId="0" borderId="7" xfId="0" applyNumberFormat="1" applyFont="1" applyBorder="1"/>
    <xf numFmtId="164" fontId="1" fillId="0" borderId="0" xfId="0" applyNumberFormat="1" applyFont="1"/>
    <xf numFmtId="0" fontId="3" fillId="3" borderId="0" xfId="0" applyFont="1" applyFill="1" applyAlignment="1">
      <alignment horizontal="center"/>
    </xf>
  </cellXfs>
  <cellStyles count="3">
    <cellStyle name="Heading 1" xfId="2" builtinId="16"/>
    <cellStyle name="Heading 1 2" xfId="1" xr:uid="{00000000-0005-0000-0000-000003000000}"/>
    <cellStyle name="Normal" xfId="0" builtinId="0"/>
  </cellStyles>
  <dxfs count="0"/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Information'!$D$2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56-4E86-99B6-2BDABAEC17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56-4E86-99B6-2BDABAEC17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56-4E86-99B6-2BDABAEC175B}"/>
              </c:ext>
            </c:extLst>
          </c:dPt>
          <c:dLbls>
            <c:delete val="1"/>
          </c:dLbls>
          <c:cat>
            <c:strRef>
              <c:f>'Supplier Information'!$B$3:$B$5</c:f>
              <c:strCache>
                <c:ptCount val="3"/>
                <c:pt idx="0">
                  <c:v>Toy Bucket Corporation</c:v>
                </c:pt>
                <c:pt idx="1">
                  <c:v>Lucky Atlantic Imports</c:v>
                </c:pt>
                <c:pt idx="2">
                  <c:v>Educational Fun, Ltd</c:v>
                </c:pt>
              </c:strCache>
            </c:strRef>
          </c:cat>
          <c:val>
            <c:numRef>
              <c:f>'Supplier Information'!$D$3:$D$5</c:f>
              <c:numCache>
                <c:formatCode>General</c:formatCode>
                <c:ptCount val="3"/>
                <c:pt idx="0">
                  <c:v>1350016.09</c:v>
                </c:pt>
                <c:pt idx="1">
                  <c:v>478776.75</c:v>
                </c:pt>
                <c:pt idx="2">
                  <c:v>357577.38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56-4E86-99B6-2BDABAEC17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17634432"/>
        <c:axId val="1737625088"/>
      </c:barChart>
      <c:catAx>
        <c:axId val="181763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25088"/>
        <c:crosses val="autoZero"/>
        <c:auto val="1"/>
        <c:lblAlgn val="ctr"/>
        <c:lblOffset val="100"/>
        <c:noMultiLvlLbl val="0"/>
      </c:catAx>
      <c:valAx>
        <c:axId val="17376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3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D7877F-647E-4DEB-967F-3E834BACDF4A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1604-5107-B508-91EF-D72BEA9392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neDrive%20-%20HOCICT/TULIEU/IIG/MOS/MOS_HOCICT/MOS%202010/PFE%202010%20by%20Me/Excel%20Core%20-%20Up/HOCICT_V1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Suppliers"/>
      <sheetName val="Discounts"/>
      <sheetName val="Tracker"/>
      <sheetName val="Regions"/>
      <sheetName val="HOCICT_V10001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13F7-1DFB-44FA-A163-9C28FFD6427E}">
  <dimension ref="A1:J16"/>
  <sheetViews>
    <sheetView tabSelected="1" topLeftCell="D1" zoomScaleNormal="100" workbookViewId="0">
      <pane ySplit="1" topLeftCell="A2" activePane="bottomLeft" state="frozen"/>
      <selection pane="bottomLeft" activeCell="I22" sqref="I22"/>
    </sheetView>
  </sheetViews>
  <sheetFormatPr defaultRowHeight="14.4" x14ac:dyDescent="0.3"/>
  <cols>
    <col min="1" max="1" width="12.77734375" bestFit="1" customWidth="1"/>
    <col min="2" max="2" width="19.44140625" bestFit="1" customWidth="1"/>
    <col min="3" max="3" width="13.33203125" bestFit="1" customWidth="1"/>
    <col min="4" max="4" width="15.6640625" customWidth="1"/>
    <col min="5" max="5" width="9.77734375" customWidth="1"/>
    <col min="6" max="7" width="15.6640625" customWidth="1"/>
    <col min="9" max="9" width="23.21875" customWidth="1"/>
  </cols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G1" s="5" t="s">
        <v>5</v>
      </c>
      <c r="I1" s="21" t="s">
        <v>39</v>
      </c>
      <c r="J1" s="21"/>
    </row>
    <row r="2" spans="1:10" x14ac:dyDescent="0.3">
      <c r="A2" s="7" t="s">
        <v>33</v>
      </c>
      <c r="B2" s="8" t="s">
        <v>9</v>
      </c>
      <c r="C2" s="8" t="s">
        <v>14</v>
      </c>
      <c r="D2" s="8" t="s">
        <v>24</v>
      </c>
      <c r="G2" s="18">
        <f>Invoice!$E6*Invoice!$F6</f>
        <v>520605</v>
      </c>
      <c r="I2" s="3" t="s">
        <v>40</v>
      </c>
    </row>
    <row r="3" spans="1:10" x14ac:dyDescent="0.3">
      <c r="A3" s="7" t="s">
        <v>38</v>
      </c>
      <c r="B3" s="8" t="s">
        <v>9</v>
      </c>
      <c r="C3" s="8" t="s">
        <v>17</v>
      </c>
      <c r="D3" s="8" t="s">
        <v>28</v>
      </c>
      <c r="G3" s="18">
        <f>Invoice!$E7*Invoice!$F7</f>
        <v>485680.72000000003</v>
      </c>
    </row>
    <row r="4" spans="1:10" x14ac:dyDescent="0.3">
      <c r="A4" s="7" t="s">
        <v>35</v>
      </c>
      <c r="B4" s="8" t="s">
        <v>7</v>
      </c>
      <c r="C4" s="8" t="s">
        <v>12</v>
      </c>
      <c r="D4" s="8" t="s">
        <v>26</v>
      </c>
      <c r="G4" s="18">
        <f>Invoice!$E8*Invoice!$F8</f>
        <v>368686.5</v>
      </c>
    </row>
    <row r="5" spans="1:10" x14ac:dyDescent="0.3">
      <c r="A5" s="7" t="s">
        <v>34</v>
      </c>
      <c r="B5" s="8" t="s">
        <v>11</v>
      </c>
      <c r="C5" s="8" t="s">
        <v>15</v>
      </c>
      <c r="D5" s="8" t="s">
        <v>25</v>
      </c>
      <c r="E5" s="5" t="s">
        <v>4</v>
      </c>
      <c r="F5" s="6" t="s">
        <v>6</v>
      </c>
      <c r="G5" s="18">
        <f>Invoice!$E9*Invoice!$F9</f>
        <v>217397.37999999998</v>
      </c>
    </row>
    <row r="6" spans="1:10" x14ac:dyDescent="0.3">
      <c r="A6" s="7" t="s">
        <v>37</v>
      </c>
      <c r="B6" s="8" t="s">
        <v>9</v>
      </c>
      <c r="C6" s="8" t="s">
        <v>27</v>
      </c>
      <c r="D6" s="8" t="s">
        <v>21</v>
      </c>
      <c r="E6" s="8">
        <v>9054</v>
      </c>
      <c r="F6" s="9">
        <v>57.5</v>
      </c>
      <c r="G6" s="18">
        <f>Invoice!$E10*Invoice!$F10</f>
        <v>170443.5</v>
      </c>
    </row>
    <row r="7" spans="1:10" x14ac:dyDescent="0.3">
      <c r="A7" s="7" t="s">
        <v>30</v>
      </c>
      <c r="B7" s="8" t="s">
        <v>11</v>
      </c>
      <c r="C7" s="8" t="s">
        <v>19</v>
      </c>
      <c r="D7" s="8" t="s">
        <v>20</v>
      </c>
      <c r="E7" s="8">
        <v>8587</v>
      </c>
      <c r="F7" s="9">
        <v>56.56</v>
      </c>
      <c r="G7" s="18">
        <f>Invoice!$E11*Invoice!$F11</f>
        <v>140180</v>
      </c>
    </row>
    <row r="8" spans="1:10" x14ac:dyDescent="0.3">
      <c r="A8" s="7" t="s">
        <v>31</v>
      </c>
      <c r="B8" s="8" t="s">
        <v>7</v>
      </c>
      <c r="C8" s="8" t="s">
        <v>18</v>
      </c>
      <c r="D8" s="8" t="s">
        <v>22</v>
      </c>
      <c r="E8" s="8">
        <v>8103</v>
      </c>
      <c r="F8" s="9">
        <v>45.5</v>
      </c>
      <c r="G8" s="18">
        <f>Invoice!$E12*Invoice!$F12</f>
        <v>110090.25</v>
      </c>
    </row>
    <row r="9" spans="1:10" x14ac:dyDescent="0.3">
      <c r="A9" s="7" t="s">
        <v>32</v>
      </c>
      <c r="B9" s="8" t="s">
        <v>9</v>
      </c>
      <c r="C9" s="8" t="s">
        <v>10</v>
      </c>
      <c r="D9" s="8" t="s">
        <v>23</v>
      </c>
      <c r="E9" s="8">
        <v>9062</v>
      </c>
      <c r="F9" s="9">
        <v>23.99</v>
      </c>
      <c r="G9" s="18">
        <f>Invoice!$E13*Invoice!$F13</f>
        <v>98510.58</v>
      </c>
    </row>
    <row r="10" spans="1:10" x14ac:dyDescent="0.3">
      <c r="A10" s="7" t="s">
        <v>36</v>
      </c>
      <c r="B10" s="8" t="s">
        <v>9</v>
      </c>
      <c r="C10" s="8" t="s">
        <v>42</v>
      </c>
      <c r="D10" s="8" t="s">
        <v>16</v>
      </c>
      <c r="E10" s="8">
        <v>8565</v>
      </c>
      <c r="F10" s="9">
        <v>19.899999999999999</v>
      </c>
      <c r="G10" s="18">
        <f>Invoice!$E14*Invoice!$F14</f>
        <v>44586.43</v>
      </c>
    </row>
    <row r="11" spans="1:10" x14ac:dyDescent="0.3">
      <c r="A11" s="10" t="s">
        <v>29</v>
      </c>
      <c r="B11" s="11" t="s">
        <v>9</v>
      </c>
      <c r="C11" s="11" t="s">
        <v>8</v>
      </c>
      <c r="D11" s="11" t="s">
        <v>13</v>
      </c>
      <c r="E11" s="8">
        <v>6520</v>
      </c>
      <c r="F11" s="9">
        <v>21.5</v>
      </c>
      <c r="G11" s="19">
        <f>Invoice!$E15*Invoice!$F15</f>
        <v>30189.86</v>
      </c>
    </row>
    <row r="12" spans="1:10" x14ac:dyDescent="0.3">
      <c r="E12" s="8">
        <v>8475</v>
      </c>
      <c r="F12" s="9">
        <v>12.99</v>
      </c>
      <c r="G12" s="20">
        <f>SUM(G2:G11)</f>
        <v>2186370.2199999997</v>
      </c>
    </row>
    <row r="13" spans="1:10" x14ac:dyDescent="0.3">
      <c r="E13" s="8">
        <v>2142</v>
      </c>
      <c r="F13" s="9">
        <v>45.99</v>
      </c>
    </row>
    <row r="14" spans="1:10" x14ac:dyDescent="0.3">
      <c r="E14" s="8">
        <v>4057</v>
      </c>
      <c r="F14" s="9">
        <v>10.99</v>
      </c>
    </row>
    <row r="15" spans="1:10" x14ac:dyDescent="0.3">
      <c r="E15" s="11">
        <v>2014</v>
      </c>
      <c r="F15" s="12">
        <v>14.99</v>
      </c>
    </row>
    <row r="16" spans="1:10" x14ac:dyDescent="0.3">
      <c r="F16" s="3" t="s">
        <v>43</v>
      </c>
    </row>
  </sheetData>
  <mergeCells count="1">
    <mergeCell ref="I1:J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7A4A-B910-4AE9-82D0-DADB4AA6B991}">
  <dimension ref="A1:D7"/>
  <sheetViews>
    <sheetView zoomScaleNormal="100" workbookViewId="0">
      <selection activeCell="D5" sqref="A2:D5"/>
    </sheetView>
  </sheetViews>
  <sheetFormatPr defaultRowHeight="14.4" x14ac:dyDescent="0.3"/>
  <cols>
    <col min="1" max="1" width="9.77734375" customWidth="1"/>
    <col min="2" max="2" width="20.21875" customWidth="1"/>
    <col min="3" max="3" width="22.44140625" customWidth="1"/>
    <col min="4" max="4" width="15.21875" customWidth="1"/>
    <col min="5" max="5" width="23.21875" customWidth="1"/>
  </cols>
  <sheetData>
    <row r="1" spans="1:4" ht="24.6" customHeight="1" thickBot="1" x14ac:dyDescent="0.45">
      <c r="B1" s="17" t="s">
        <v>44</v>
      </c>
    </row>
    <row r="2" spans="1:4" ht="15" thickTop="1" x14ac:dyDescent="0.3">
      <c r="A2" s="15" t="s">
        <v>45</v>
      </c>
      <c r="B2" s="16" t="s">
        <v>46</v>
      </c>
      <c r="C2" s="16" t="s">
        <v>41</v>
      </c>
      <c r="D2" s="15" t="s">
        <v>43</v>
      </c>
    </row>
    <row r="3" spans="1:4" x14ac:dyDescent="0.3">
      <c r="A3" s="13" t="str">
        <f>CONCATENATE("sid",ROW(A3)-2)</f>
        <v>sid1</v>
      </c>
      <c r="B3" s="14" t="s">
        <v>9</v>
      </c>
      <c r="C3" s="14"/>
      <c r="D3" s="13">
        <v>1350016.09</v>
      </c>
    </row>
    <row r="4" spans="1:4" x14ac:dyDescent="0.3">
      <c r="A4" s="13" t="str">
        <f t="shared" ref="A4:A5" si="0">CONCATENATE("sid",ROW(A4)-2)</f>
        <v>sid2</v>
      </c>
      <c r="B4" s="14" t="s">
        <v>7</v>
      </c>
      <c r="C4" s="14"/>
      <c r="D4" s="13">
        <v>478776.75</v>
      </c>
    </row>
    <row r="5" spans="1:4" x14ac:dyDescent="0.3">
      <c r="A5" s="13" t="str">
        <f t="shared" si="0"/>
        <v>sid3</v>
      </c>
      <c r="B5" s="14" t="s">
        <v>11</v>
      </c>
      <c r="C5" s="14"/>
      <c r="D5" s="13">
        <v>357577.38</v>
      </c>
    </row>
    <row r="6" spans="1:4" x14ac:dyDescent="0.3">
      <c r="B6" s="1"/>
      <c r="C6" s="1"/>
    </row>
    <row r="7" spans="1:4" x14ac:dyDescent="0.3">
      <c r="B7" s="2"/>
      <c r="C7" s="1"/>
      <c r="D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Invoice</vt:lpstr>
      <vt:lpstr>Supplier Information</vt:lpstr>
      <vt:lpstr>Summary</vt:lpstr>
      <vt:lpstr>Invoice!SUPPLIER_NAME</vt:lpstr>
      <vt:lpstr>'Supplier Information'!SUPPLIER_NAME</vt:lpstr>
    </vt:vector>
  </TitlesOfParts>
  <Company>HOCICT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TRAN THAI HOC</dc:creator>
  <cp:lastModifiedBy>Ly Tran Thai Hoc</cp:lastModifiedBy>
  <cp:lastPrinted>2020-03-16T07:27:46Z</cp:lastPrinted>
  <dcterms:created xsi:type="dcterms:W3CDTF">2015-03-31T03:19:22Z</dcterms:created>
  <dcterms:modified xsi:type="dcterms:W3CDTF">2024-04-01T13:01:37Z</dcterms:modified>
</cp:coreProperties>
</file>